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za\OneDrive\Área de Trabalho\"/>
    </mc:Choice>
  </mc:AlternateContent>
  <xr:revisionPtr revIDLastSave="0" documentId="8_{B05EB847-ECF3-4979-B52C-ED81EFE69C96}" xr6:coauthVersionLast="47" xr6:coauthVersionMax="47" xr10:uidLastSave="{00000000-0000-0000-0000-000000000000}"/>
  <bookViews>
    <workbookView xWindow="-120" yWindow="-120" windowWidth="20730" windowHeight="11160" tabRatio="269" xr2:uid="{BBC34925-EC6B-4445-9E9F-6EB063487A8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 s="1"/>
  <c r="C35" i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3" i="1"/>
  <c r="C24" i="1"/>
  <c r="D24" i="1" s="1"/>
  <c r="C25" i="1"/>
  <c r="D25" i="1" s="1"/>
  <c r="C26" i="1"/>
  <c r="D26" i="1" s="1"/>
  <c r="C27" i="1"/>
  <c r="D27" i="1" s="1"/>
  <c r="C23" i="1"/>
  <c r="D23" i="1" s="1"/>
  <c r="D40" i="1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<sst xmlns="http://schemas.openxmlformats.org/spreadsheetml/2006/main" count="69" uniqueCount="34">
  <si>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</si>
  <si>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</si>
  <si>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</si>
  <si>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Patrimônio acumulados?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</si>
  <si>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</si>
  <si>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</si>
  <si>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</si>
  <si>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</si>
  <si>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</si>
  <si>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</si>
  <si>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</si>
  <si>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</si>
  <si>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</si>
  <si>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</si>
  <si>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Salário</t>
  </si>
  <si>
    <t>Rendimento carteira</t>
  </si>
  <si>
    <t xml:space="preserve">Perfil </t>
  </si>
  <si>
    <t>PERFIL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</si>
  <si>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</si>
  <si>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</si>
  <si>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</si>
  <si>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</si>
  <si>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</si>
  <si>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</si>
  <si>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HÍBRIDO</t>
  </si>
  <si>
    <t>FOFs</t>
  </si>
  <si>
    <t>DESENVOLVIMENTO</t>
  </si>
  <si>
    <t>HOTELARIA</t>
  </si>
  <si>
    <t>Conservador</t>
  </si>
  <si>
    <t>%</t>
  </si>
  <si>
    <t>CHAVE</t>
  </si>
  <si>
    <t>Moderado</t>
  </si>
  <si>
    <t>Agressivo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</si>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</sst>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5" borderId="0" xfId="0" applyFont="1" applyFill="1"/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8" fontId="0" fillId="4" borderId="10" xfId="0" applyNumberFormat="1" applyFill="1" applyBorder="1" applyAlignment="1">
      <alignment horizontal="center"/>
    </xf>
    <xf numFmtId="8" fontId="0" fillId="4" borderId="11" xfId="0" applyNumberFormat="1" applyFill="1" applyBorder="1" applyAlignment="1">
      <alignment horizontal="center"/>
    </xf>
    <xf numFmtId="8" fontId="0" fillId="4" borderId="17" xfId="0" applyNumberFormat="1" applyFill="1" applyBorder="1" applyAlignment="1">
      <alignment horizontal="center"/>
    </xf>
    <xf numFmtId="9" fontId="0" fillId="0" borderId="0" xfId="0" applyNumberFormat="1"/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8" fontId="0" fillId="4" borderId="13" xfId="0" applyNumberFormat="1" applyFill="1" applyBorder="1" applyAlignment="1">
      <alignment horizontal="center"/>
    </xf>
    <xf numFmtId="8" fontId="0" fillId="4" borderId="15" xfId="0" applyNumberFormat="1" applyFill="1" applyBorder="1" applyAlignment="1">
      <alignment horizontal="center"/>
    </xf>
    <xf numFmtId="8" fontId="0" fillId="4" borderId="18" xfId="0" applyNumberForma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/>
    </xf>
    <xf numFmtId="166" fontId="3" fillId="0" borderId="13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10" fontId="3" fillId="0" borderId="15" xfId="0" applyNumberFormat="1" applyFont="1" applyBorder="1" applyAlignment="1">
      <alignment horizontal="center" vertical="center"/>
    </xf>
    <xf numFmtId="0" fontId="8" fillId="4" borderId="14" xfId="0" applyFont="1" applyFill="1" applyBorder="1" applyAlignment="1">
      <alignment horizontal="center"/>
    </xf>
    <xf numFmtId="8" fontId="3" fillId="4" borderId="15" xfId="0" applyNumberFormat="1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8" fontId="3" fillId="4" borderId="18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vertical="center"/>
    </xf>
    <xf numFmtId="0" fontId="7" fillId="4" borderId="12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166" fontId="0" fillId="7" borderId="0" xfId="0" applyNumberFormat="1" applyFill="1"/>
    <xf numFmtId="166" fontId="0" fillId="4" borderId="0" xfId="0" applyNumberFormat="1" applyFill="1"/>
    <xf numFmtId="0" fontId="1" fillId="2" borderId="0" xfId="1" applyBorder="1"/>
    <xf numFmtId="0" fontId="1" fillId="2" borderId="0" xfId="1" applyBorder="1" applyAlignment="1">
      <alignment horizontal="center"/>
    </xf>
    <xf numFmtId="0" fontId="0" fillId="4" borderId="0" xfId="0" applyFill="1" applyBorder="1"/>
    <xf numFmtId="166" fontId="3" fillId="4" borderId="0" xfId="0" applyNumberFormat="1" applyFont="1" applyFill="1" applyBorder="1" applyAlignment="1">
      <alignment horizontal="center" vertical="center"/>
    </xf>
    <xf numFmtId="0" fontId="0" fillId="0" borderId="6" xfId="0" applyFont="1" applyBorder="1"/>
    <xf numFmtId="0" fontId="0" fillId="0" borderId="6" xfId="0" applyFont="1" applyBorder="1" applyAlignment="1">
      <alignment horizontal="center"/>
    </xf>
    <xf numFmtId="0" fontId="0" fillId="0" borderId="2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9" fontId="0" fillId="0" borderId="3" xfId="0" applyNumberFormat="1" applyFont="1" applyBorder="1" applyAlignment="1">
      <alignment horizontal="center"/>
    </xf>
    <xf numFmtId="0" fontId="0" fillId="0" borderId="4" xfId="0" applyFont="1" applyBorder="1"/>
    <xf numFmtId="9" fontId="0" fillId="0" borderId="5" xfId="0" applyNumberFormat="1" applyFont="1" applyBorder="1" applyAlignment="1">
      <alignment horizontal="center"/>
    </xf>
    <xf numFmtId="0" fontId="0" fillId="8" borderId="7" xfId="0" applyFont="1" applyFill="1" applyBorder="1"/>
    <xf numFmtId="0" fontId="0" fillId="8" borderId="8" xfId="0" applyFont="1" applyFill="1" applyBorder="1" applyAlignment="1">
      <alignment horizontal="center"/>
    </xf>
    <xf numFmtId="0" fontId="0" fillId="8" borderId="9" xfId="0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47625</xdr:rowOff>
    </xdr:from>
    <xdr:to>
      <xdr:col>4</xdr:col>
      <xdr:colOff>47625</xdr:colOff>
      <xdr:row>8</xdr:row>
      <xdr:rowOff>82336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FA6F187-4C71-F1B6-014B-335CE9F26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47625"/>
          <a:ext cx="5819775" cy="1558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0572-B879-4D15-BE05-34F7870B5ED9}">
  <dimension ref="A9:XFD55"/>
  <sheetViews>
    <sheetView showGridLines="0" showRowColHeaders="0" tabSelected="1" zoomScaleNormal="100" workbookViewId="0">
      <selection activeCell="A4" sqref="A4"/>
    </sheetView>
  </sheetViews>
  <sheetFormatPr defaultColWidth="0" defaultRowHeight="15" x14ac:dyDescent="0.25"/>
  <cols>
    <col min="1" max="1" width="6.28515625" customWidth="1"/>
    <col min="2" max="2" width="32.140625" customWidth="1"/>
    <col min="3" max="3" width="32.28515625" customWidth="1"/>
    <col min="4" max="4" width="22.28515625" customWidth="1"/>
    <col min="5" max="5" width="3.5703125" customWidth="1"/>
    <col min="6" max="6" width="2.7109375" customWidth="1"/>
    <col min="7" max="7" width="2.85546875" customWidth="1"/>
    <col min="8" max="16383" width="8.85546875" hidden="1"/>
    <col min="16384" max="16384" width="0.140625" hidden="1" customWidth="1"/>
  </cols>
  <sheetData>
    <row r="9" spans="2:4" ht="15.75" thickBot="1" x14ac:dyDescent="0.3"/>
    <row r="10" spans="2:4" ht="24.75" thickBot="1" x14ac:dyDescent="0.3">
      <c r="B10" s="9" t="s">
        <v>13</v>
      </c>
      <c r="C10" s="10"/>
      <c r="D10" s="27"/>
    </row>
    <row r="11" spans="2:4" ht="16.5" thickBot="1" x14ac:dyDescent="0.3">
      <c r="B11" s="29" t="s">
        <v>14</v>
      </c>
      <c r="C11" s="34"/>
      <c r="D11" s="14">
        <v>2000</v>
      </c>
    </row>
    <row r="12" spans="2:4" ht="16.5" thickBot="1" x14ac:dyDescent="0.3">
      <c r="B12" s="31" t="s">
        <v>15</v>
      </c>
      <c r="C12" s="35"/>
      <c r="D12" s="15">
        <v>6.0000000000000001E-3</v>
      </c>
    </row>
    <row r="13" spans="2:4" ht="16.5" thickBot="1" x14ac:dyDescent="0.3">
      <c r="B13" s="33" t="s">
        <v>33</v>
      </c>
      <c r="C13" s="36"/>
      <c r="D13" s="38">
        <f>D11*30%</f>
        <v>600</v>
      </c>
    </row>
    <row r="14" spans="2:4" ht="15.75" thickBot="1" x14ac:dyDescent="0.3"/>
    <row r="15" spans="2:4" ht="30" customHeight="1" thickBot="1" x14ac:dyDescent="0.3">
      <c r="B15" s="3" t="s">
        <v>5</v>
      </c>
      <c r="C15" s="16"/>
      <c r="D15" s="17"/>
    </row>
    <row r="16" spans="2:4" ht="16.5" thickBot="1" x14ac:dyDescent="0.3">
      <c r="B16" s="29" t="s">
        <v>0</v>
      </c>
      <c r="C16" s="34"/>
      <c r="D16" s="19">
        <v>200</v>
      </c>
    </row>
    <row r="17" spans="1:4" ht="16.5" thickBot="1" x14ac:dyDescent="0.3">
      <c r="B17" s="31" t="s">
        <v>1</v>
      </c>
      <c r="C17" s="35"/>
      <c r="D17" s="20">
        <v>5</v>
      </c>
    </row>
    <row r="18" spans="1:4" ht="16.5" thickBot="1" x14ac:dyDescent="0.3">
      <c r="B18" s="31" t="s">
        <v>2</v>
      </c>
      <c r="C18" s="35"/>
      <c r="D18" s="21">
        <v>1.0789999999999999E-2</v>
      </c>
    </row>
    <row r="19" spans="1:4" ht="16.5" thickBot="1" x14ac:dyDescent="0.3">
      <c r="B19" s="22" t="s">
        <v>3</v>
      </c>
      <c r="C19" s="18"/>
      <c r="D19" s="23">
        <f>FV(D18,D17*12,D16*-1)</f>
        <v>16755.382799697527</v>
      </c>
    </row>
    <row r="20" spans="1:4" ht="16.5" thickBot="1" x14ac:dyDescent="0.3">
      <c r="B20" s="24" t="s">
        <v>4</v>
      </c>
      <c r="C20" s="25"/>
      <c r="D20" s="26">
        <f>D19*$D$12</f>
        <v>100.53229679818516</v>
      </c>
    </row>
    <row r="21" spans="1:4" ht="15.75" thickBot="1" x14ac:dyDescent="0.3"/>
    <row r="22" spans="1:4" ht="27" thickBot="1" x14ac:dyDescent="0.3">
      <c r="B22" s="3" t="s">
        <v>11</v>
      </c>
      <c r="C22" s="4"/>
      <c r="D22" s="37" t="s">
        <v>12</v>
      </c>
    </row>
    <row r="23" spans="1:4" ht="16.5" thickBot="1" x14ac:dyDescent="0.3">
      <c r="A23" s="2">
        <v>2</v>
      </c>
      <c r="B23" s="28" t="s">
        <v>6</v>
      </c>
      <c r="C23" s="5">
        <f>FV($D$18,$A23*12,$D$16*-1)</f>
        <v>5445.5254595290435</v>
      </c>
      <c r="D23" s="11">
        <f>C23*$D$12</f>
        <v>32.673152757174265</v>
      </c>
    </row>
    <row r="24" spans="1:4" ht="16.5" thickBot="1" x14ac:dyDescent="0.3">
      <c r="A24" s="2">
        <v>5</v>
      </c>
      <c r="B24" s="30" t="s">
        <v>7</v>
      </c>
      <c r="C24" s="6">
        <f>FV($D$18,$A24*12,$D$16*-1)</f>
        <v>16755.382799697527</v>
      </c>
      <c r="D24" s="12">
        <f>C24*$D$12</f>
        <v>100.53229679818516</v>
      </c>
    </row>
    <row r="25" spans="1:4" ht="16.5" thickBot="1" x14ac:dyDescent="0.3">
      <c r="A25" s="2">
        <v>10</v>
      </c>
      <c r="B25" s="30" t="s">
        <v>8</v>
      </c>
      <c r="C25" s="6">
        <f>FV($D$18,$A25*12,$D$16*-1)</f>
        <v>48656.842506034438</v>
      </c>
      <c r="D25" s="12">
        <f>C25*$D$12</f>
        <v>291.94105503620665</v>
      </c>
    </row>
    <row r="26" spans="1:4" ht="16.5" thickBot="1" x14ac:dyDescent="0.3">
      <c r="A26" s="2">
        <v>20</v>
      </c>
      <c r="B26" s="30" t="s">
        <v>9</v>
      </c>
      <c r="C26" s="6">
        <f>FV($D$18,$A26*12,$D$16*-1)</f>
        <v>225039.68001941612</v>
      </c>
      <c r="D26" s="12">
        <f>C26*$D$12</f>
        <v>1350.2380801164968</v>
      </c>
    </row>
    <row r="27" spans="1:4" ht="16.5" thickBot="1" x14ac:dyDescent="0.3">
      <c r="A27" s="2">
        <v>30</v>
      </c>
      <c r="B27" s="32" t="s">
        <v>10</v>
      </c>
      <c r="C27" s="7">
        <f>FV($D$18,$A27*12,$D$16*-1)</f>
        <v>864433.93100094295</v>
      </c>
      <c r="D27" s="13">
        <f>C27*$D$12</f>
        <v>5186.6035860056581</v>
      </c>
    </row>
    <row r="30" spans="1:4" x14ac:dyDescent="0.25">
      <c r="B30" s="43" t="s">
        <v>16</v>
      </c>
      <c r="C30" s="44" t="s">
        <v>28</v>
      </c>
      <c r="D30" s="43"/>
    </row>
    <row r="31" spans="1:4" x14ac:dyDescent="0.25">
      <c r="B31" s="45" t="s">
        <v>18</v>
      </c>
      <c r="C31" s="46">
        <v>200</v>
      </c>
      <c r="D31" s="45"/>
    </row>
    <row r="33" spans="2:4" x14ac:dyDescent="0.25">
      <c r="B33" s="39" t="s">
        <v>19</v>
      </c>
      <c r="C33" s="39" t="s">
        <v>20</v>
      </c>
      <c r="D33" s="39" t="s">
        <v>21</v>
      </c>
    </row>
    <row r="34" spans="2:4" x14ac:dyDescent="0.25">
      <c r="B34" s="1" t="s">
        <v>22</v>
      </c>
      <c r="C34" s="8">
        <f>VLOOKUP($C$30&amp;"-"&amp;B34,Planilha2!$A:$D,4,FALSE)</f>
        <v>0.3</v>
      </c>
      <c r="D34" s="42">
        <f>C34*$C$31</f>
        <v>60</v>
      </c>
    </row>
    <row r="35" spans="2:4" x14ac:dyDescent="0.25">
      <c r="B35" s="1" t="s">
        <v>23</v>
      </c>
      <c r="C35" s="8">
        <f>VLOOKUP($C$30&amp;"-"&amp;B35,Planilha2!$A:$D,4,FALSE)</f>
        <v>0.5</v>
      </c>
      <c r="D35" s="42">
        <f t="shared" ref="D35:D39" si="0">C35*$C$31</f>
        <v>100</v>
      </c>
    </row>
    <row r="36" spans="2:4" x14ac:dyDescent="0.25">
      <c r="B36" s="1" t="s">
        <v>24</v>
      </c>
      <c r="C36" s="8">
        <f>VLOOKUP($C$30&amp;"-"&amp;B36,Planilha2!$A:$D,4,FALSE)</f>
        <v>0.1</v>
      </c>
      <c r="D36" s="42">
        <f t="shared" si="0"/>
        <v>20</v>
      </c>
    </row>
    <row r="37" spans="2:4" x14ac:dyDescent="0.25">
      <c r="B37" s="1" t="s">
        <v>25</v>
      </c>
      <c r="C37" s="8">
        <f>VLOOKUP($C$30&amp;"-"&amp;B37,Planilha2!$A:$D,4,FALSE)</f>
        <v>0.1</v>
      </c>
      <c r="D37" s="42">
        <f t="shared" si="0"/>
        <v>20</v>
      </c>
    </row>
    <row r="38" spans="2:4" x14ac:dyDescent="0.25">
      <c r="B38" s="1" t="s">
        <v>26</v>
      </c>
      <c r="C38" s="8">
        <f>VLOOKUP($C$30&amp;"-"&amp;B38,Planilha2!$A:$D,4,FALSE)</f>
        <v>0</v>
      </c>
      <c r="D38" s="42">
        <f t="shared" si="0"/>
        <v>0</v>
      </c>
    </row>
    <row r="39" spans="2:4" x14ac:dyDescent="0.25">
      <c r="B39" s="1" t="s">
        <v>27</v>
      </c>
      <c r="C39" s="8">
        <f>VLOOKUP($C$30&amp;"-"&amp;B39,Planilha2!$A:$D,4,FALSE)</f>
        <v>0</v>
      </c>
      <c r="D39" s="42">
        <f t="shared" si="0"/>
        <v>0</v>
      </c>
    </row>
    <row r="40" spans="2:4" x14ac:dyDescent="0.25">
      <c r="B40" s="40"/>
      <c r="C40" s="40"/>
      <c r="D40" s="41">
        <f>SUM(D34:D39)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mergeCells count="11">
    <mergeCell ref="B10:C10"/>
    <mergeCell ref="B11:C11"/>
    <mergeCell ref="B12:C12"/>
    <mergeCell ref="B13:C13"/>
    <mergeCell ref="B15:C15"/>
    <mergeCell ref="B22:C22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AFEC151C-BE72-4589-B85D-3CF9EE99713B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8BF6-7A8B-4362-8236-F258E3F05D11}">
  <dimension ref="A1:D20"/>
  <sheetViews>
    <sheetView workbookViewId="0">
      <selection activeCell="F10" sqref="F10"/>
    </sheetView>
  </sheetViews>
  <sheetFormatPr defaultRowHeight="15" x14ac:dyDescent="0.25"/>
  <cols>
    <col min="1" max="1" width="35.28515625" customWidth="1"/>
    <col min="2" max="2" width="13.28515625" customWidth="1"/>
    <col min="3" max="3" width="18.140625" customWidth="1"/>
  </cols>
  <sheetData>
    <row r="1" spans="1:4" ht="15.75" thickBot="1" x14ac:dyDescent="0.3"/>
    <row r="2" spans="1:4" ht="15.75" thickBot="1" x14ac:dyDescent="0.3">
      <c r="A2" s="55" t="s">
        <v>30</v>
      </c>
      <c r="B2" s="56" t="s">
        <v>17</v>
      </c>
      <c r="C2" s="56" t="s">
        <v>19</v>
      </c>
      <c r="D2" s="57" t="s">
        <v>29</v>
      </c>
    </row>
    <row r="3" spans="1:4" x14ac:dyDescent="0.25">
      <c r="A3" s="49" t="str">
        <f>B3&amp;"-"&amp;C3</f>
        <v>Conservador-PAPEL</v>
      </c>
      <c r="B3" s="50" t="s">
        <v>28</v>
      </c>
      <c r="C3" s="51" t="s">
        <v>22</v>
      </c>
      <c r="D3" s="52">
        <v>0.3</v>
      </c>
    </row>
    <row r="4" spans="1:4" x14ac:dyDescent="0.25">
      <c r="A4" s="49" t="str">
        <f t="shared" ref="A4:A20" si="0">B4&amp;"-"&amp;C4</f>
        <v>Conservador-TIJOLO</v>
      </c>
      <c r="B4" s="50" t="s">
        <v>28</v>
      </c>
      <c r="C4" s="51" t="s">
        <v>23</v>
      </c>
      <c r="D4" s="52">
        <v>0.5</v>
      </c>
    </row>
    <row r="5" spans="1:4" x14ac:dyDescent="0.25">
      <c r="A5" s="49" t="str">
        <f t="shared" si="0"/>
        <v>Conservador-HÍBRIDO</v>
      </c>
      <c r="B5" s="50" t="s">
        <v>28</v>
      </c>
      <c r="C5" s="51" t="s">
        <v>24</v>
      </c>
      <c r="D5" s="52">
        <v>0.1</v>
      </c>
    </row>
    <row r="6" spans="1:4" x14ac:dyDescent="0.25">
      <c r="A6" s="49" t="str">
        <f t="shared" si="0"/>
        <v>Conservador-FOFs</v>
      </c>
      <c r="B6" s="50" t="s">
        <v>28</v>
      </c>
      <c r="C6" s="51" t="s">
        <v>25</v>
      </c>
      <c r="D6" s="52">
        <v>0.1</v>
      </c>
    </row>
    <row r="7" spans="1:4" x14ac:dyDescent="0.25">
      <c r="A7" s="49" t="str">
        <f t="shared" si="0"/>
        <v>Conservador-DESENVOLVIMENTO</v>
      </c>
      <c r="B7" s="50" t="s">
        <v>28</v>
      </c>
      <c r="C7" s="51" t="s">
        <v>26</v>
      </c>
      <c r="D7" s="52">
        <v>0</v>
      </c>
    </row>
    <row r="8" spans="1:4" ht="15.75" thickBot="1" x14ac:dyDescent="0.3">
      <c r="A8" s="53" t="str">
        <f t="shared" si="0"/>
        <v>Conservador-HOTELARIA</v>
      </c>
      <c r="B8" s="47" t="s">
        <v>28</v>
      </c>
      <c r="C8" s="48" t="s">
        <v>27</v>
      </c>
      <c r="D8" s="54">
        <v>0</v>
      </c>
    </row>
    <row r="9" spans="1:4" x14ac:dyDescent="0.25">
      <c r="A9" s="49" t="str">
        <f t="shared" si="0"/>
        <v>Moderado-PAPEL</v>
      </c>
      <c r="B9" s="50" t="s">
        <v>31</v>
      </c>
      <c r="C9" s="51" t="s">
        <v>22</v>
      </c>
      <c r="D9" s="52">
        <v>0.32</v>
      </c>
    </row>
    <row r="10" spans="1:4" x14ac:dyDescent="0.25">
      <c r="A10" s="49" t="str">
        <f t="shared" si="0"/>
        <v>Moderado-TIJOLO</v>
      </c>
      <c r="B10" s="50" t="s">
        <v>31</v>
      </c>
      <c r="C10" s="51" t="s">
        <v>23</v>
      </c>
      <c r="D10" s="52">
        <v>0.35</v>
      </c>
    </row>
    <row r="11" spans="1:4" x14ac:dyDescent="0.25">
      <c r="A11" s="49" t="str">
        <f t="shared" si="0"/>
        <v>Moderado-HÍBRIDO</v>
      </c>
      <c r="B11" s="50" t="s">
        <v>31</v>
      </c>
      <c r="C11" s="51" t="s">
        <v>24</v>
      </c>
      <c r="D11" s="52">
        <v>0.08</v>
      </c>
    </row>
    <row r="12" spans="1:4" x14ac:dyDescent="0.25">
      <c r="A12" s="49" t="str">
        <f t="shared" si="0"/>
        <v>Moderado-FOFs</v>
      </c>
      <c r="B12" s="50" t="s">
        <v>31</v>
      </c>
      <c r="C12" s="51" t="s">
        <v>25</v>
      </c>
      <c r="D12" s="52">
        <v>0.05</v>
      </c>
    </row>
    <row r="13" spans="1:4" x14ac:dyDescent="0.25">
      <c r="A13" s="49" t="str">
        <f t="shared" si="0"/>
        <v>Moderado-DESENVOLVIMENTO</v>
      </c>
      <c r="B13" s="50" t="s">
        <v>31</v>
      </c>
      <c r="C13" s="51" t="s">
        <v>26</v>
      </c>
      <c r="D13" s="52">
        <v>0.1</v>
      </c>
    </row>
    <row r="14" spans="1:4" ht="15.75" thickBot="1" x14ac:dyDescent="0.3">
      <c r="A14" s="53" t="str">
        <f t="shared" si="0"/>
        <v>Moderado-HOTELARIA</v>
      </c>
      <c r="B14" s="47" t="s">
        <v>31</v>
      </c>
      <c r="C14" s="48" t="s">
        <v>27</v>
      </c>
      <c r="D14" s="54">
        <v>0.1</v>
      </c>
    </row>
    <row r="15" spans="1:4" x14ac:dyDescent="0.25">
      <c r="A15" s="49" t="str">
        <f t="shared" si="0"/>
        <v>Agressivo-PAPEL</v>
      </c>
      <c r="B15" s="50" t="s">
        <v>32</v>
      </c>
      <c r="C15" s="51" t="s">
        <v>22</v>
      </c>
      <c r="D15" s="52">
        <v>0.5</v>
      </c>
    </row>
    <row r="16" spans="1:4" x14ac:dyDescent="0.25">
      <c r="A16" s="49" t="str">
        <f t="shared" si="0"/>
        <v>Agressivo-TIJOLO</v>
      </c>
      <c r="B16" s="50" t="s">
        <v>32</v>
      </c>
      <c r="C16" s="51" t="s">
        <v>23</v>
      </c>
      <c r="D16" s="52">
        <v>0.1</v>
      </c>
    </row>
    <row r="17" spans="1:4" x14ac:dyDescent="0.25">
      <c r="A17" s="49" t="str">
        <f t="shared" si="0"/>
        <v>Agressivo-HÍBRIDO</v>
      </c>
      <c r="B17" s="50" t="s">
        <v>32</v>
      </c>
      <c r="C17" s="51" t="s">
        <v>24</v>
      </c>
      <c r="D17" s="52">
        <v>0.05</v>
      </c>
    </row>
    <row r="18" spans="1:4" x14ac:dyDescent="0.25">
      <c r="A18" s="49" t="str">
        <f t="shared" si="0"/>
        <v>Agressivo-FOFs</v>
      </c>
      <c r="B18" s="50" t="s">
        <v>32</v>
      </c>
      <c r="C18" s="51" t="s">
        <v>25</v>
      </c>
      <c r="D18" s="52">
        <v>0.05</v>
      </c>
    </row>
    <row r="19" spans="1:4" x14ac:dyDescent="0.25">
      <c r="A19" s="49" t="str">
        <f t="shared" si="0"/>
        <v>Agressivo-DESENVOLVIMENTO</v>
      </c>
      <c r="B19" s="50" t="s">
        <v>32</v>
      </c>
      <c r="C19" s="51" t="s">
        <v>26</v>
      </c>
      <c r="D19" s="52">
        <v>0.2</v>
      </c>
    </row>
    <row r="20" spans="1:4" ht="15.75" thickBot="1" x14ac:dyDescent="0.3">
      <c r="A20" s="53" t="str">
        <f t="shared" si="0"/>
        <v>Agressivo-HOTELARIA</v>
      </c>
      <c r="B20" s="47" t="s">
        <v>32</v>
      </c>
      <c r="C20" s="48" t="s">
        <v>27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Souza</dc:creator>
  <cp:lastModifiedBy>Solange Souza</cp:lastModifiedBy>
  <dcterms:created xsi:type="dcterms:W3CDTF">2026-02-02T15:42:24Z</dcterms:created>
  <dcterms:modified xsi:type="dcterms:W3CDTF">2026-02-02T23:18:03Z</dcterms:modified>
</cp:coreProperties>
</file>